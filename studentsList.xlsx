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с++ practice\Example\"/>
    </mc:Choice>
  </mc:AlternateContent>
  <xr:revisionPtr revIDLastSave="0" documentId="13_ncr:1_{308D2509-98E2-40F6-8882-8362966CEC13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Лист1" sheetId="1" r:id="rId1"/>
    <sheet name="посещаемость" sheetId="2" r:id="rId2"/>
    <sheet name="Лист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3" l="1"/>
  <c r="O25" i="3" s="1"/>
  <c r="N26" i="3"/>
  <c r="O26" i="3" s="1"/>
  <c r="N14" i="3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8" i="2"/>
  <c r="O9" i="3"/>
  <c r="O10" i="3"/>
  <c r="O11" i="3"/>
  <c r="O24" i="3"/>
  <c r="O6" i="3"/>
  <c r="N7" i="3"/>
  <c r="O7" i="3" s="1"/>
  <c r="N8" i="3"/>
  <c r="O8" i="3" s="1"/>
  <c r="N9" i="3"/>
  <c r="N10" i="3"/>
  <c r="N11" i="3"/>
  <c r="N12" i="3"/>
  <c r="O12" i="3" s="1"/>
  <c r="N13" i="3"/>
  <c r="O13" i="3" s="1"/>
  <c r="O14" i="3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N6" i="3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C5" i="1"/>
  <c r="C6" i="1" s="1"/>
  <c r="C7" i="1" s="1"/>
  <c r="C8" i="1" s="1"/>
  <c r="C9" i="1" s="1"/>
  <c r="C10" i="1" s="1"/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</calcChain>
</file>

<file path=xl/sharedStrings.xml><?xml version="1.0" encoding="utf-8"?>
<sst xmlns="http://schemas.openxmlformats.org/spreadsheetml/2006/main" count="116" uniqueCount="58">
  <si>
    <t>Бондаренко Пётр Алексеевич</t>
  </si>
  <si>
    <t>bondarenko.pa@phystech.edu</t>
  </si>
  <si>
    <t>Б04-306</t>
  </si>
  <si>
    <t>Балушкин Пётр</t>
  </si>
  <si>
    <t>balushkin.pa@phystech.edu</t>
  </si>
  <si>
    <t>Б04-302</t>
  </si>
  <si>
    <t>Власов Алексей</t>
  </si>
  <si>
    <t>vlasov.aleksei@phystech.edu</t>
  </si>
  <si>
    <t>Дубенков Владислав Михайлович</t>
  </si>
  <si>
    <t>dubenkov.vm@phystech.edu</t>
  </si>
  <si>
    <t>Евтушенко Ольга Сергеевна</t>
  </si>
  <si>
    <t>evtushenko.os@phystech.edu</t>
  </si>
  <si>
    <t>Зеленин Даниил</t>
  </si>
  <si>
    <t>zelenin.da@phystech.edu</t>
  </si>
  <si>
    <t>Б04-303</t>
  </si>
  <si>
    <t>Идрисов Сергей Ринатович</t>
  </si>
  <si>
    <t>idrisov.sergei@phystech.edu</t>
  </si>
  <si>
    <t>Кротюк Александр Алексеевич</t>
  </si>
  <si>
    <t>krotiuk.aa@phystech.edu</t>
  </si>
  <si>
    <t>Пенская Дарья Павловна</t>
  </si>
  <si>
    <t>penskaia.dp@phystech.edu</t>
  </si>
  <si>
    <t>Пискунова Алёна</t>
  </si>
  <si>
    <t>piskunova.av@phystech.edu</t>
  </si>
  <si>
    <t>Питерская Екатерина Сергеевна</t>
  </si>
  <si>
    <t>piterskaia.es@phystech.edu</t>
  </si>
  <si>
    <t>Решетов Дмитрий Антонович</t>
  </si>
  <si>
    <t>reshetov.da@phystech.edu</t>
  </si>
  <si>
    <t>Суворов Степан</t>
  </si>
  <si>
    <t>suvorov.sa@phystech.edu</t>
  </si>
  <si>
    <t>Б04-304</t>
  </si>
  <si>
    <t>Сумеркин Владимир Денисович</t>
  </si>
  <si>
    <t>sumerkin.vd@phystech.edu</t>
  </si>
  <si>
    <t>Тарасов Артём Юрьевич</t>
  </si>
  <si>
    <t>tarasov.aiu@phystech.edu</t>
  </si>
  <si>
    <t>Хусаинов Билал Ильгизович</t>
  </si>
  <si>
    <t>khusainov.bi@phystech.edu</t>
  </si>
  <si>
    <t>Шинкаренко Владислав Эдуардович</t>
  </si>
  <si>
    <t>shinkarenko.ve@phystech.edu</t>
  </si>
  <si>
    <t>Эседуллаев Саид Арифович</t>
  </si>
  <si>
    <t>esedullaev.sa@phystech.edu</t>
  </si>
  <si>
    <t>Григорьев Александр Айалович</t>
  </si>
  <si>
    <t>grigorev.aleksandr@phystech.edu</t>
  </si>
  <si>
    <t>kolisova.ev@phystech.edu</t>
  </si>
  <si>
    <t>Колисова Екатерина Викторовна</t>
  </si>
  <si>
    <t>Филиппов Всеволод Александрович</t>
  </si>
  <si>
    <t>Б04-307</t>
  </si>
  <si>
    <t xml:space="preserve">filippov.va@phystech.edu </t>
  </si>
  <si>
    <t>по</t>
  </si>
  <si>
    <t>итог</t>
  </si>
  <si>
    <t>оценка</t>
  </si>
  <si>
    <t>контест1</t>
  </si>
  <si>
    <t>контест2</t>
  </si>
  <si>
    <t>контест3</t>
  </si>
  <si>
    <t>преза1</t>
  </si>
  <si>
    <t>преза2</t>
  </si>
  <si>
    <t>преза3</t>
  </si>
  <si>
    <t>проект</t>
  </si>
  <si>
    <t>доп/опрос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</si>
</sst>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2"/>
      <color rgb="FF000000"/>
      <name val="Liberation Sans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0" xfId="0"/>
    <xf numFmtId="0" fontId="2" fillId="0" borderId="1" xfId="1" applyBorder="1" applyAlignment="1" applyProtection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 applyProtection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Fill="1" applyBorder="1" applyAlignment="1">
      <alignment horizontal="left"/>
    </xf>
    <xf numFmtId="0" fontId="0" fillId="0" borderId="1" xfId="0" applyBorder="1"/>
    <xf numFmtId="16" fontId="0" fillId="0" borderId="1" xfId="0" applyNumberFormat="1" applyBorder="1"/>
    <xf numFmtId="2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nskaia.dp@phystech.edu" TargetMode="External"/><Relationship Id="rId13" Type="http://schemas.openxmlformats.org/officeDocument/2006/relationships/hyperlink" Target="mailto:sumerkin.vd@phystech.edu" TargetMode="External"/><Relationship Id="rId18" Type="http://schemas.openxmlformats.org/officeDocument/2006/relationships/hyperlink" Target="mailto:grigorev.aleksandr@phystech.edu" TargetMode="External"/><Relationship Id="rId3" Type="http://schemas.openxmlformats.org/officeDocument/2006/relationships/hyperlink" Target="mailto:vlasov.aleksei@phystech.edu" TargetMode="External"/><Relationship Id="rId7" Type="http://schemas.openxmlformats.org/officeDocument/2006/relationships/hyperlink" Target="mailto:krotiuk.aa@phystech.edu" TargetMode="External"/><Relationship Id="rId12" Type="http://schemas.openxmlformats.org/officeDocument/2006/relationships/hyperlink" Target="mailto:suvorov.sa@phystech.edu" TargetMode="External"/><Relationship Id="rId17" Type="http://schemas.openxmlformats.org/officeDocument/2006/relationships/hyperlink" Target="mailto:esedullaev.sa@phystech.edu" TargetMode="External"/><Relationship Id="rId2" Type="http://schemas.openxmlformats.org/officeDocument/2006/relationships/hyperlink" Target="mailto:balushkin.pa@phystech.edu" TargetMode="External"/><Relationship Id="rId16" Type="http://schemas.openxmlformats.org/officeDocument/2006/relationships/hyperlink" Target="mailto:shinkarenko.ve@phystech.edu" TargetMode="External"/><Relationship Id="rId1" Type="http://schemas.openxmlformats.org/officeDocument/2006/relationships/hyperlink" Target="mailto:bondarenko.pa@phystech.edu" TargetMode="External"/><Relationship Id="rId6" Type="http://schemas.openxmlformats.org/officeDocument/2006/relationships/hyperlink" Target="mailto:zelenin.da@phystech.edu" TargetMode="External"/><Relationship Id="rId11" Type="http://schemas.openxmlformats.org/officeDocument/2006/relationships/hyperlink" Target="mailto:reshetov.da@phystech.edu" TargetMode="External"/><Relationship Id="rId5" Type="http://schemas.openxmlformats.org/officeDocument/2006/relationships/hyperlink" Target="mailto:evtushenko.os@phystech.edu" TargetMode="External"/><Relationship Id="rId15" Type="http://schemas.openxmlformats.org/officeDocument/2006/relationships/hyperlink" Target="mailto:khusainov.bi@phystech.edu" TargetMode="External"/><Relationship Id="rId10" Type="http://schemas.openxmlformats.org/officeDocument/2006/relationships/hyperlink" Target="mailto:piterskaia.es@phystech.edu" TargetMode="External"/><Relationship Id="rId19" Type="http://schemas.openxmlformats.org/officeDocument/2006/relationships/hyperlink" Target="mailto:idrisov.sergei@phystech.edu" TargetMode="External"/><Relationship Id="rId4" Type="http://schemas.openxmlformats.org/officeDocument/2006/relationships/hyperlink" Target="mailto:dubenkov.vm@phystech.edu" TargetMode="External"/><Relationship Id="rId9" Type="http://schemas.openxmlformats.org/officeDocument/2006/relationships/hyperlink" Target="mailto:piskunova.av@phystech.edu" TargetMode="External"/><Relationship Id="rId14" Type="http://schemas.openxmlformats.org/officeDocument/2006/relationships/hyperlink" Target="mailto:tarasov.aiu@phystech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24"/>
  <sheetViews>
    <sheetView topLeftCell="C3" zoomScale="121" workbookViewId="0">
      <selection activeCell="D21" sqref="D21"/>
    </sheetView>
  </sheetViews>
  <sheetFormatPr defaultRowHeight="15"/>
  <cols>
    <col min="4" max="4" width="39.85546875" bestFit="1" customWidth="1"/>
    <col min="5" max="5" width="32" bestFit="1" customWidth="1"/>
    <col min="6" max="6" width="10" bestFit="1" customWidth="1"/>
  </cols>
  <sheetData>
    <row r="4" spans="3:6" ht="15.75">
      <c r="C4">
        <v>1</v>
      </c>
      <c r="D4" s="5" t="s">
        <v>0</v>
      </c>
      <c r="E4" s="2" t="s">
        <v>1</v>
      </c>
      <c r="F4" s="5" t="s">
        <v>2</v>
      </c>
    </row>
    <row r="5" spans="3:6" ht="15.75">
      <c r="C5">
        <f>C4+1</f>
        <v>2</v>
      </c>
      <c r="D5" s="5" t="s">
        <v>3</v>
      </c>
      <c r="E5" s="2" t="s">
        <v>4</v>
      </c>
      <c r="F5" s="5" t="s">
        <v>5</v>
      </c>
    </row>
    <row r="6" spans="3:6" ht="15.75">
      <c r="C6" s="1">
        <f t="shared" ref="C6:C24" si="0">C5+1</f>
        <v>3</v>
      </c>
      <c r="D6" s="5" t="s">
        <v>6</v>
      </c>
      <c r="E6" s="2" t="s">
        <v>7</v>
      </c>
      <c r="F6" s="5" t="s">
        <v>5</v>
      </c>
    </row>
    <row r="7" spans="3:6" ht="15.75">
      <c r="C7" s="1">
        <f t="shared" si="0"/>
        <v>4</v>
      </c>
      <c r="D7" s="3" t="s">
        <v>40</v>
      </c>
      <c r="E7" s="4" t="s">
        <v>41</v>
      </c>
      <c r="F7" s="6" t="s">
        <v>2</v>
      </c>
    </row>
    <row r="8" spans="3:6" ht="15.75">
      <c r="C8" s="1">
        <f t="shared" si="0"/>
        <v>5</v>
      </c>
      <c r="D8" s="5" t="s">
        <v>8</v>
      </c>
      <c r="E8" s="2" t="s">
        <v>9</v>
      </c>
      <c r="F8" s="5" t="s">
        <v>2</v>
      </c>
    </row>
    <row r="9" spans="3:6" ht="15.75">
      <c r="C9" s="1">
        <f t="shared" si="0"/>
        <v>6</v>
      </c>
      <c r="D9" s="5" t="s">
        <v>10</v>
      </c>
      <c r="E9" s="2" t="s">
        <v>11</v>
      </c>
      <c r="F9" s="5" t="s">
        <v>2</v>
      </c>
    </row>
    <row r="10" spans="3:6" ht="15.75">
      <c r="C10" s="1">
        <f t="shared" si="0"/>
        <v>7</v>
      </c>
      <c r="D10" s="6" t="s">
        <v>12</v>
      </c>
      <c r="E10" s="2" t="s">
        <v>13</v>
      </c>
      <c r="F10" s="6" t="s">
        <v>14</v>
      </c>
    </row>
    <row r="11" spans="3:6" ht="15.75">
      <c r="C11" s="1">
        <f t="shared" si="0"/>
        <v>8</v>
      </c>
      <c r="D11" s="5" t="s">
        <v>15</v>
      </c>
      <c r="E11" s="2" t="s">
        <v>16</v>
      </c>
      <c r="F11" s="5" t="s">
        <v>2</v>
      </c>
    </row>
    <row r="12" spans="3:6" ht="15.75">
      <c r="C12" s="1">
        <f t="shared" si="0"/>
        <v>9</v>
      </c>
      <c r="D12" s="7" t="s">
        <v>43</v>
      </c>
      <c r="E12" s="2" t="s">
        <v>42</v>
      </c>
      <c r="F12" s="5" t="s">
        <v>2</v>
      </c>
    </row>
    <row r="13" spans="3:6" ht="15.75">
      <c r="C13" s="1">
        <f t="shared" si="0"/>
        <v>10</v>
      </c>
      <c r="D13" s="5" t="s">
        <v>17</v>
      </c>
      <c r="E13" s="2" t="s">
        <v>18</v>
      </c>
      <c r="F13" s="5" t="s">
        <v>2</v>
      </c>
    </row>
    <row r="14" spans="3:6" ht="15.75">
      <c r="C14" s="1">
        <f t="shared" si="0"/>
        <v>11</v>
      </c>
      <c r="D14" s="5" t="s">
        <v>19</v>
      </c>
      <c r="E14" s="2" t="s">
        <v>20</v>
      </c>
      <c r="F14" s="5" t="s">
        <v>2</v>
      </c>
    </row>
    <row r="15" spans="3:6" ht="15.75">
      <c r="C15" s="1">
        <f t="shared" si="0"/>
        <v>12</v>
      </c>
      <c r="D15" s="6" t="s">
        <v>21</v>
      </c>
      <c r="E15" s="2" t="s">
        <v>22</v>
      </c>
      <c r="F15" s="6" t="s">
        <v>5</v>
      </c>
    </row>
    <row r="16" spans="3:6" ht="15.75">
      <c r="C16" s="1">
        <f t="shared" si="0"/>
        <v>13</v>
      </c>
      <c r="D16" s="5" t="s">
        <v>23</v>
      </c>
      <c r="E16" s="2" t="s">
        <v>24</v>
      </c>
      <c r="F16" s="5" t="s">
        <v>2</v>
      </c>
    </row>
    <row r="17" spans="3:6" ht="15.75">
      <c r="C17" s="1">
        <f t="shared" si="0"/>
        <v>14</v>
      </c>
      <c r="D17" s="5" t="s">
        <v>25</v>
      </c>
      <c r="E17" s="2" t="s">
        <v>26</v>
      </c>
      <c r="F17" s="5" t="s">
        <v>2</v>
      </c>
    </row>
    <row r="18" spans="3:6" ht="15.75">
      <c r="C18" s="1">
        <f t="shared" si="0"/>
        <v>15</v>
      </c>
      <c r="D18" s="6" t="s">
        <v>27</v>
      </c>
      <c r="E18" s="2" t="s">
        <v>28</v>
      </c>
      <c r="F18" s="6" t="s">
        <v>29</v>
      </c>
    </row>
    <row r="19" spans="3:6" ht="15.75">
      <c r="C19" s="1">
        <f t="shared" si="0"/>
        <v>16</v>
      </c>
      <c r="D19" s="5" t="s">
        <v>30</v>
      </c>
      <c r="E19" s="2" t="s">
        <v>31</v>
      </c>
      <c r="F19" s="5" t="s">
        <v>2</v>
      </c>
    </row>
    <row r="20" spans="3:6" ht="15.75">
      <c r="C20" s="1">
        <f t="shared" si="0"/>
        <v>17</v>
      </c>
      <c r="D20" s="5" t="s">
        <v>32</v>
      </c>
      <c r="E20" s="2" t="s">
        <v>33</v>
      </c>
      <c r="F20" s="5" t="s">
        <v>2</v>
      </c>
    </row>
    <row r="21" spans="3:6" ht="15.75">
      <c r="C21" s="1">
        <f t="shared" si="0"/>
        <v>18</v>
      </c>
      <c r="D21" s="5" t="s">
        <v>44</v>
      </c>
      <c r="E21" s="2" t="s">
        <v>46</v>
      </c>
      <c r="F21" s="5" t="s">
        <v>45</v>
      </c>
    </row>
    <row r="22" spans="3:6" ht="15.75">
      <c r="C22" s="1">
        <f t="shared" si="0"/>
        <v>19</v>
      </c>
      <c r="D22" s="5" t="s">
        <v>34</v>
      </c>
      <c r="E22" s="2" t="s">
        <v>35</v>
      </c>
      <c r="F22" s="5" t="s">
        <v>2</v>
      </c>
    </row>
    <row r="23" spans="3:6" ht="15.75">
      <c r="C23" s="1">
        <f t="shared" si="0"/>
        <v>20</v>
      </c>
      <c r="D23" s="5" t="s">
        <v>36</v>
      </c>
      <c r="E23" s="2" t="s">
        <v>37</v>
      </c>
      <c r="F23" s="5" t="s">
        <v>2</v>
      </c>
    </row>
    <row r="24" spans="3:6" ht="15.75">
      <c r="C24" s="1">
        <f t="shared" si="0"/>
        <v>21</v>
      </c>
      <c r="D24" s="5" t="s">
        <v>38</v>
      </c>
      <c r="E24" s="2" t="s">
        <v>39</v>
      </c>
      <c r="F24" s="5" t="s">
        <v>2</v>
      </c>
    </row>
  </sheetData>
  <hyperlinks>
    <hyperlink ref="E4" r:id="rId1" display="mailto:bondarenko.pa@phystech.edu" xr:uid="{00000000-0004-0000-0000-000000000000}"/>
    <hyperlink ref="E5" r:id="rId2" display="mailto:balushkin.pa@phystech.edu" xr:uid="{00000000-0004-0000-0000-000001000000}"/>
    <hyperlink ref="E6" r:id="rId3" display="mailto:vlasov.aleksei@phystech.edu" xr:uid="{00000000-0004-0000-0000-000002000000}"/>
    <hyperlink ref="E8" r:id="rId4" display="mailto:dubenkov.vm@phystech.edu" xr:uid="{00000000-0004-0000-0000-000003000000}"/>
    <hyperlink ref="E9" r:id="rId5" display="mailto:evtushenko.os@phystech.edu" xr:uid="{00000000-0004-0000-0000-000004000000}"/>
    <hyperlink ref="E10" r:id="rId6" display="mailto:zelenin.da@phystech.edu" xr:uid="{00000000-0004-0000-0000-000005000000}"/>
    <hyperlink ref="E13" r:id="rId7" display="mailto:krotiuk.aa@phystech.edu" xr:uid="{00000000-0004-0000-0000-000006000000}"/>
    <hyperlink ref="E14" r:id="rId8" display="mailto:penskaia.dp@phystech.edu" xr:uid="{00000000-0004-0000-0000-000007000000}"/>
    <hyperlink ref="E15" r:id="rId9" display="mailto:piskunova.av@phystech.edu" xr:uid="{00000000-0004-0000-0000-000008000000}"/>
    <hyperlink ref="E16" r:id="rId10" display="mailto:piterskaia.es@phystech.edu" xr:uid="{00000000-0004-0000-0000-000009000000}"/>
    <hyperlink ref="E17" r:id="rId11" display="mailto:reshetov.da@phystech.edu" xr:uid="{00000000-0004-0000-0000-00000A000000}"/>
    <hyperlink ref="E18" r:id="rId12" display="mailto:suvorov.sa@phystech.edu" xr:uid="{00000000-0004-0000-0000-00000B000000}"/>
    <hyperlink ref="E19" r:id="rId13" display="mailto:sumerkin.vd@phystech.edu" xr:uid="{00000000-0004-0000-0000-00000C000000}"/>
    <hyperlink ref="E20" r:id="rId14" display="mailto:tarasov.aiu@phystech.edu" xr:uid="{00000000-0004-0000-0000-00000D000000}"/>
    <hyperlink ref="E22" r:id="rId15" display="mailto:khusainov.bi@phystech.edu" xr:uid="{00000000-0004-0000-0000-00000E000000}"/>
    <hyperlink ref="E23" r:id="rId16" display="mailto:shinkarenko.ve@phystech.edu" xr:uid="{00000000-0004-0000-0000-00000F000000}"/>
    <hyperlink ref="E24" r:id="rId17" display="mailto:esedullaev.sa@phystech.edu" xr:uid="{00000000-0004-0000-0000-000010000000}"/>
    <hyperlink ref="E7" r:id="rId18" display="mailto:grigorev.aleksandr@phystech.edu" xr:uid="{00000000-0004-0000-0000-000011000000}"/>
    <hyperlink ref="E11" r:id="rId19" display="mailto:idrisov.sergei@phystech.edu" xr:uid="{00000000-0004-0000-0000-00001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activeCell="F23" sqref="F23"/>
    </sheetView>
  </sheetViews>
  <sheetFormatPr defaultRowHeight="15"/>
  <cols>
    <col min="7" max="7" width="41.5703125" customWidth="1"/>
  </cols>
  <sheetData>
    <row r="1" spans="1:20">
      <c r="A1" t="s">
        <v>47</v>
      </c>
    </row>
    <row r="7" spans="1:20">
      <c r="E7" s="8"/>
      <c r="F7" s="8"/>
      <c r="G7" s="8"/>
      <c r="H7" s="9">
        <v>45689</v>
      </c>
      <c r="I7" s="9">
        <v>45696</v>
      </c>
      <c r="J7" s="9">
        <v>45710</v>
      </c>
      <c r="K7" s="9">
        <v>45717</v>
      </c>
      <c r="L7" s="9">
        <v>45731</v>
      </c>
      <c r="M7" s="9">
        <v>45738</v>
      </c>
      <c r="N7" s="9">
        <v>45745</v>
      </c>
      <c r="O7" s="9">
        <v>45752</v>
      </c>
      <c r="P7" s="9">
        <v>45759</v>
      </c>
      <c r="Q7" s="9">
        <v>45766</v>
      </c>
      <c r="R7" s="9">
        <v>45773</v>
      </c>
      <c r="S7" s="9">
        <v>45780</v>
      </c>
      <c r="T7" s="9">
        <v>45787</v>
      </c>
    </row>
    <row r="8" spans="1:20">
      <c r="E8" s="8">
        <v>1</v>
      </c>
      <c r="F8" s="8">
        <f>SUM(H8:T8)</f>
        <v>0</v>
      </c>
      <c r="G8" s="8" t="s"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>
      <c r="E9" s="8">
        <f>1+E8</f>
        <v>2</v>
      </c>
      <c r="F9" s="8">
        <f t="shared" ref="F9:F28" si="0">SUM(H9:T9)</f>
        <v>2</v>
      </c>
      <c r="G9" s="8" t="s">
        <v>3</v>
      </c>
      <c r="H9" s="8"/>
      <c r="I9" s="8">
        <v>1</v>
      </c>
      <c r="J9" s="8">
        <v>1</v>
      </c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>
      <c r="E10" s="8">
        <f t="shared" ref="E10:E28" si="1">1+E9</f>
        <v>3</v>
      </c>
      <c r="F10" s="8">
        <f t="shared" si="0"/>
        <v>0</v>
      </c>
      <c r="G10" s="8" t="s">
        <v>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>
      <c r="E11" s="8">
        <f t="shared" si="1"/>
        <v>4</v>
      </c>
      <c r="F11" s="8">
        <f t="shared" si="0"/>
        <v>2</v>
      </c>
      <c r="G11" s="8" t="s">
        <v>40</v>
      </c>
      <c r="H11" s="8">
        <v>1</v>
      </c>
      <c r="I11" s="8"/>
      <c r="J11" s="8"/>
      <c r="K11" s="8"/>
      <c r="L11" s="8"/>
      <c r="M11" s="8">
        <v>1</v>
      </c>
      <c r="N11" s="8"/>
      <c r="O11" s="8"/>
      <c r="P11" s="8"/>
      <c r="Q11" s="8"/>
      <c r="R11" s="8"/>
      <c r="S11" s="8"/>
      <c r="T11" s="8"/>
    </row>
    <row r="12" spans="1:20">
      <c r="E12" s="8">
        <f t="shared" si="1"/>
        <v>5</v>
      </c>
      <c r="F12" s="8">
        <f t="shared" si="0"/>
        <v>4</v>
      </c>
      <c r="G12" s="8" t="s">
        <v>8</v>
      </c>
      <c r="H12" s="8"/>
      <c r="I12" s="8">
        <v>1</v>
      </c>
      <c r="J12" s="8">
        <v>1</v>
      </c>
      <c r="K12" s="8">
        <v>1</v>
      </c>
      <c r="L12" s="8"/>
      <c r="M12" s="8">
        <v>1</v>
      </c>
      <c r="N12" s="8"/>
      <c r="O12" s="8"/>
      <c r="P12" s="8"/>
      <c r="Q12" s="8"/>
      <c r="R12" s="8"/>
      <c r="S12" s="8"/>
      <c r="T12" s="8"/>
    </row>
    <row r="13" spans="1:20">
      <c r="E13" s="8">
        <f t="shared" si="1"/>
        <v>6</v>
      </c>
      <c r="F13" s="8">
        <f t="shared" si="0"/>
        <v>1</v>
      </c>
      <c r="G13" s="8" t="s">
        <v>10</v>
      </c>
      <c r="H13" s="8"/>
      <c r="I13" s="8">
        <v>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E14" s="8">
        <f t="shared" si="1"/>
        <v>7</v>
      </c>
      <c r="F14" s="8">
        <f t="shared" si="0"/>
        <v>6</v>
      </c>
      <c r="G14" s="8" t="s">
        <v>12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/>
      <c r="P14" s="8"/>
      <c r="Q14" s="8"/>
      <c r="R14" s="8"/>
      <c r="S14" s="8"/>
      <c r="T14" s="8"/>
    </row>
    <row r="15" spans="1:20">
      <c r="E15" s="8">
        <f t="shared" si="1"/>
        <v>8</v>
      </c>
      <c r="F15" s="8">
        <f t="shared" si="0"/>
        <v>6</v>
      </c>
      <c r="G15" s="8" t="s">
        <v>15</v>
      </c>
      <c r="H15" s="8"/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/>
      <c r="P15" s="8"/>
      <c r="Q15" s="8"/>
      <c r="R15" s="8"/>
      <c r="S15" s="8"/>
      <c r="T15" s="8"/>
    </row>
    <row r="16" spans="1:20">
      <c r="E16" s="8">
        <f t="shared" si="1"/>
        <v>9</v>
      </c>
      <c r="F16" s="8">
        <f t="shared" si="0"/>
        <v>2</v>
      </c>
      <c r="G16" s="8" t="s">
        <v>43</v>
      </c>
      <c r="H16" s="8">
        <v>1</v>
      </c>
      <c r="I16" s="8"/>
      <c r="J16" s="8"/>
      <c r="K16" s="8"/>
      <c r="L16" s="8"/>
      <c r="M16" s="8">
        <v>1</v>
      </c>
      <c r="N16" s="8"/>
      <c r="O16" s="8"/>
      <c r="P16" s="8"/>
      <c r="Q16" s="8"/>
      <c r="R16" s="8"/>
      <c r="S16" s="8"/>
      <c r="T16" s="8"/>
    </row>
    <row r="17" spans="5:20">
      <c r="E17" s="8">
        <f t="shared" si="1"/>
        <v>10</v>
      </c>
      <c r="F17" s="8">
        <f t="shared" si="0"/>
        <v>5</v>
      </c>
      <c r="G17" s="8" t="s">
        <v>17</v>
      </c>
      <c r="H17" s="8">
        <v>1</v>
      </c>
      <c r="I17" s="8">
        <v>1</v>
      </c>
      <c r="J17" s="8">
        <v>1</v>
      </c>
      <c r="K17" s="8">
        <v>1</v>
      </c>
      <c r="L17" s="8"/>
      <c r="M17" s="8"/>
      <c r="N17" s="8">
        <v>1</v>
      </c>
      <c r="O17" s="8"/>
      <c r="P17" s="8"/>
      <c r="Q17" s="8"/>
      <c r="R17" s="8"/>
      <c r="S17" s="8"/>
      <c r="T17" s="8"/>
    </row>
    <row r="18" spans="5:20">
      <c r="E18" s="8">
        <f t="shared" si="1"/>
        <v>11</v>
      </c>
      <c r="F18" s="8">
        <f t="shared" si="0"/>
        <v>4</v>
      </c>
      <c r="G18" s="8" t="s">
        <v>19</v>
      </c>
      <c r="H18" s="8"/>
      <c r="I18" s="8">
        <v>1</v>
      </c>
      <c r="J18" s="8">
        <v>1</v>
      </c>
      <c r="K18" s="8">
        <v>1</v>
      </c>
      <c r="L18" s="8"/>
      <c r="M18" s="8">
        <v>1</v>
      </c>
      <c r="N18" s="8"/>
      <c r="O18" s="8"/>
      <c r="P18" s="8"/>
      <c r="Q18" s="8"/>
      <c r="R18" s="8"/>
      <c r="S18" s="8"/>
      <c r="T18" s="8"/>
    </row>
    <row r="19" spans="5:20">
      <c r="E19" s="8">
        <f t="shared" si="1"/>
        <v>12</v>
      </c>
      <c r="F19" s="8">
        <f t="shared" si="0"/>
        <v>0</v>
      </c>
      <c r="G19" s="8" t="s">
        <v>21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5:20">
      <c r="E20" s="8">
        <f t="shared" si="1"/>
        <v>13</v>
      </c>
      <c r="F20" s="8">
        <f t="shared" si="0"/>
        <v>7</v>
      </c>
      <c r="G20" s="8" t="s">
        <v>23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/>
      <c r="P20" s="8"/>
      <c r="Q20" s="8"/>
      <c r="R20" s="8"/>
      <c r="S20" s="8"/>
      <c r="T20" s="8"/>
    </row>
    <row r="21" spans="5:20">
      <c r="E21" s="8">
        <f t="shared" si="1"/>
        <v>14</v>
      </c>
      <c r="F21" s="8">
        <f t="shared" si="0"/>
        <v>5</v>
      </c>
      <c r="G21" s="8" t="s">
        <v>25</v>
      </c>
      <c r="H21" s="8"/>
      <c r="I21" s="8">
        <v>1</v>
      </c>
      <c r="J21" s="8">
        <v>1</v>
      </c>
      <c r="K21" s="8"/>
      <c r="L21" s="8">
        <v>1</v>
      </c>
      <c r="M21" s="8">
        <v>1</v>
      </c>
      <c r="N21" s="8">
        <v>1</v>
      </c>
      <c r="O21" s="8"/>
      <c r="P21" s="8"/>
      <c r="Q21" s="8"/>
      <c r="R21" s="8"/>
      <c r="S21" s="8"/>
      <c r="T21" s="8"/>
    </row>
    <row r="22" spans="5:20">
      <c r="E22" s="8">
        <f t="shared" si="1"/>
        <v>15</v>
      </c>
      <c r="F22" s="8">
        <f t="shared" si="0"/>
        <v>6</v>
      </c>
      <c r="G22" s="8" t="s">
        <v>27</v>
      </c>
      <c r="H22" s="8"/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/>
      <c r="P22" s="8"/>
      <c r="Q22" s="8"/>
      <c r="R22" s="8"/>
      <c r="S22" s="8"/>
      <c r="T22" s="8"/>
    </row>
    <row r="23" spans="5:20">
      <c r="E23" s="8">
        <f t="shared" si="1"/>
        <v>16</v>
      </c>
      <c r="F23" s="8">
        <f t="shared" si="0"/>
        <v>6</v>
      </c>
      <c r="G23" s="8" t="s">
        <v>30</v>
      </c>
      <c r="H23" s="8"/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/>
      <c r="P23" s="8"/>
      <c r="Q23" s="8"/>
      <c r="R23" s="8"/>
      <c r="S23" s="8"/>
      <c r="T23" s="8"/>
    </row>
    <row r="24" spans="5:20">
      <c r="E24" s="8">
        <f t="shared" si="1"/>
        <v>17</v>
      </c>
      <c r="F24" s="8">
        <f t="shared" si="0"/>
        <v>6</v>
      </c>
      <c r="G24" s="8" t="s">
        <v>32</v>
      </c>
      <c r="H24" s="8"/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/>
      <c r="P24" s="8"/>
      <c r="Q24" s="8"/>
      <c r="R24" s="8"/>
      <c r="S24" s="8"/>
      <c r="T24" s="8"/>
    </row>
    <row r="25" spans="5:20">
      <c r="E25" s="8">
        <f t="shared" si="1"/>
        <v>18</v>
      </c>
      <c r="F25" s="8">
        <f t="shared" si="0"/>
        <v>1</v>
      </c>
      <c r="G25" s="8" t="s">
        <v>44</v>
      </c>
      <c r="H25" s="8">
        <v>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5:20">
      <c r="E26" s="8">
        <f t="shared" si="1"/>
        <v>19</v>
      </c>
      <c r="F26" s="8">
        <f t="shared" si="0"/>
        <v>2</v>
      </c>
      <c r="G26" s="8" t="s">
        <v>34</v>
      </c>
      <c r="H26" s="8">
        <v>1</v>
      </c>
      <c r="I26" s="8"/>
      <c r="J26" s="8"/>
      <c r="K26" s="8"/>
      <c r="L26" s="8"/>
      <c r="M26" s="8">
        <v>1</v>
      </c>
      <c r="N26" s="8"/>
      <c r="O26" s="8"/>
      <c r="P26" s="8"/>
      <c r="Q26" s="8"/>
      <c r="R26" s="8"/>
      <c r="S26" s="8"/>
      <c r="T26" s="8"/>
    </row>
    <row r="27" spans="5:20">
      <c r="E27" s="8">
        <f t="shared" si="1"/>
        <v>20</v>
      </c>
      <c r="F27" s="8">
        <f t="shared" si="0"/>
        <v>3</v>
      </c>
      <c r="G27" s="8" t="s">
        <v>36</v>
      </c>
      <c r="H27" s="8"/>
      <c r="I27" s="8"/>
      <c r="J27" s="8">
        <v>1</v>
      </c>
      <c r="K27" s="8">
        <v>1</v>
      </c>
      <c r="L27" s="8">
        <v>1</v>
      </c>
      <c r="M27" s="8"/>
      <c r="N27" s="8"/>
      <c r="O27" s="8"/>
      <c r="P27" s="8"/>
      <c r="Q27" s="8"/>
      <c r="R27" s="8"/>
      <c r="S27" s="8"/>
      <c r="T27" s="8"/>
    </row>
    <row r="28" spans="5:20">
      <c r="E28" s="8">
        <f t="shared" si="1"/>
        <v>21</v>
      </c>
      <c r="F28" s="8">
        <f t="shared" si="0"/>
        <v>1</v>
      </c>
      <c r="G28" s="8" t="s">
        <v>38</v>
      </c>
      <c r="H28" s="8"/>
      <c r="I28" s="8">
        <v>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5:O26"/>
  <sheetViews>
    <sheetView tabSelected="1" topLeftCell="B1" workbookViewId="0">
      <selection activeCell="L28" sqref="L28"/>
    </sheetView>
  </sheetViews>
  <sheetFormatPr defaultRowHeight="15"/>
  <cols>
    <col min="5" max="5" width="44.5703125" customWidth="1"/>
    <col min="6" max="9" width="9.28515625" bestFit="1" customWidth="1"/>
    <col min="12" max="12" width="10.7109375" bestFit="1" customWidth="1"/>
    <col min="13" max="13" width="7.42578125" bestFit="1" customWidth="1"/>
    <col min="14" max="14" width="9.5703125" bestFit="1" customWidth="1"/>
  </cols>
  <sheetData>
    <row r="5" spans="4:15">
      <c r="D5" s="8"/>
      <c r="E5" s="8"/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57</v>
      </c>
      <c r="M5" s="8" t="s">
        <v>56</v>
      </c>
      <c r="N5" s="8" t="s">
        <v>48</v>
      </c>
      <c r="O5" s="8" t="s">
        <v>49</v>
      </c>
    </row>
    <row r="6" spans="4:15">
      <c r="D6" s="8">
        <v>1</v>
      </c>
      <c r="E6" s="8" t="s">
        <v>0</v>
      </c>
      <c r="F6" s="10"/>
      <c r="G6" s="10"/>
      <c r="H6" s="10"/>
      <c r="I6" s="10"/>
      <c r="J6" s="10"/>
      <c r="K6" s="10"/>
      <c r="L6" s="10"/>
      <c r="M6" s="10"/>
      <c r="N6" s="10">
        <f>SUM(F6:M6)</f>
        <v>0</v>
      </c>
      <c r="O6" s="8">
        <f>IF(3+N6 &gt; 10, 10, ROUND(3 + N6,0))</f>
        <v>3</v>
      </c>
    </row>
    <row r="7" spans="4:15">
      <c r="D7" s="8">
        <f>1+D6</f>
        <v>2</v>
      </c>
      <c r="E7" s="8" t="s">
        <v>3</v>
      </c>
      <c r="F7" s="10"/>
      <c r="G7" s="10"/>
      <c r="H7" s="10"/>
      <c r="I7" s="10">
        <v>2</v>
      </c>
      <c r="J7" s="10"/>
      <c r="K7" s="10"/>
      <c r="L7" s="10"/>
      <c r="M7" s="10"/>
      <c r="N7" s="10">
        <f t="shared" ref="N7:N25" si="0">SUM(F7:M7)</f>
        <v>2</v>
      </c>
      <c r="O7" s="8">
        <f t="shared" ref="O7:O26" si="1">IF(3+N7 &gt; 10, 10, ROUND(3 + N7,0))</f>
        <v>5</v>
      </c>
    </row>
    <row r="8" spans="4:15">
      <c r="D8" s="8">
        <f t="shared" ref="D8:D26" si="2">1+D7</f>
        <v>3</v>
      </c>
      <c r="E8" s="8" t="s">
        <v>6</v>
      </c>
      <c r="F8" s="10">
        <v>1.5</v>
      </c>
      <c r="G8" s="10">
        <v>1.5</v>
      </c>
      <c r="H8" s="10">
        <v>1.5</v>
      </c>
      <c r="I8" s="10"/>
      <c r="J8" s="10"/>
      <c r="K8" s="10"/>
      <c r="L8" s="10"/>
      <c r="M8" s="10"/>
      <c r="N8" s="10">
        <f t="shared" si="0"/>
        <v>4.5</v>
      </c>
      <c r="O8" s="8">
        <f t="shared" si="1"/>
        <v>8</v>
      </c>
    </row>
    <row r="9" spans="4:15">
      <c r="D9" s="8">
        <f t="shared" si="2"/>
        <v>4</v>
      </c>
      <c r="E9" s="8" t="s">
        <v>40</v>
      </c>
      <c r="F9" s="10"/>
      <c r="G9" s="10"/>
      <c r="H9" s="10"/>
      <c r="I9" s="10"/>
      <c r="J9" s="10"/>
      <c r="K9" s="10"/>
      <c r="L9" s="10"/>
      <c r="M9" s="10"/>
      <c r="N9" s="10">
        <f t="shared" si="0"/>
        <v>0</v>
      </c>
      <c r="O9" s="8">
        <f t="shared" si="1"/>
        <v>3</v>
      </c>
    </row>
    <row r="10" spans="4:15">
      <c r="D10" s="8">
        <f t="shared" si="2"/>
        <v>5</v>
      </c>
      <c r="E10" s="8" t="s">
        <v>8</v>
      </c>
      <c r="F10" s="10">
        <v>1.5</v>
      </c>
      <c r="G10" s="10">
        <v>1.5</v>
      </c>
      <c r="H10" s="10"/>
      <c r="I10" s="10"/>
      <c r="J10" s="10"/>
      <c r="K10" s="10"/>
      <c r="L10" s="10"/>
      <c r="M10" s="10"/>
      <c r="N10" s="10">
        <f t="shared" si="0"/>
        <v>3</v>
      </c>
      <c r="O10" s="8">
        <f t="shared" si="1"/>
        <v>6</v>
      </c>
    </row>
    <row r="11" spans="4:15">
      <c r="D11" s="8">
        <f t="shared" si="2"/>
        <v>6</v>
      </c>
      <c r="E11" s="8" t="s">
        <v>10</v>
      </c>
      <c r="F11" s="10"/>
      <c r="G11" s="10"/>
      <c r="H11" s="10"/>
      <c r="I11" s="10"/>
      <c r="J11" s="10"/>
      <c r="K11" s="10"/>
      <c r="L11" s="10"/>
      <c r="M11" s="10">
        <v>8</v>
      </c>
      <c r="N11" s="10">
        <f t="shared" si="0"/>
        <v>8</v>
      </c>
      <c r="O11" s="8">
        <f t="shared" si="1"/>
        <v>10</v>
      </c>
    </row>
    <row r="12" spans="4:15">
      <c r="D12" s="8">
        <f t="shared" si="2"/>
        <v>7</v>
      </c>
      <c r="E12" s="8" t="s">
        <v>12</v>
      </c>
      <c r="F12" s="10">
        <v>1.5</v>
      </c>
      <c r="G12" s="10">
        <v>1.5</v>
      </c>
      <c r="H12" s="10"/>
      <c r="I12" s="10">
        <v>3</v>
      </c>
      <c r="J12" s="10">
        <v>2</v>
      </c>
      <c r="K12" s="10"/>
      <c r="L12" s="10"/>
      <c r="M12" s="10"/>
      <c r="N12" s="10">
        <f t="shared" si="0"/>
        <v>8</v>
      </c>
      <c r="O12" s="8">
        <f t="shared" si="1"/>
        <v>10</v>
      </c>
    </row>
    <row r="13" spans="4:15">
      <c r="D13" s="8">
        <f t="shared" si="2"/>
        <v>8</v>
      </c>
      <c r="E13" s="8" t="s">
        <v>15</v>
      </c>
      <c r="F13" s="10">
        <v>1.5</v>
      </c>
      <c r="G13" s="10">
        <v>1.5</v>
      </c>
      <c r="H13" s="10">
        <v>1.5</v>
      </c>
      <c r="I13" s="10"/>
      <c r="J13" s="10"/>
      <c r="K13" s="10"/>
      <c r="L13" s="10"/>
      <c r="M13" s="10"/>
      <c r="N13" s="10">
        <f t="shared" si="0"/>
        <v>4.5</v>
      </c>
      <c r="O13" s="8">
        <f t="shared" si="1"/>
        <v>8</v>
      </c>
    </row>
    <row r="14" spans="4:15">
      <c r="D14" s="8">
        <f t="shared" si="2"/>
        <v>9</v>
      </c>
      <c r="E14" s="8" t="s">
        <v>43</v>
      </c>
      <c r="F14" s="10">
        <v>1.5</v>
      </c>
      <c r="G14" s="10">
        <v>1.5</v>
      </c>
      <c r="H14" s="10">
        <v>1.5</v>
      </c>
      <c r="I14" s="10"/>
      <c r="J14" s="10"/>
      <c r="K14" s="10"/>
      <c r="L14" s="10"/>
      <c r="M14" s="10"/>
      <c r="N14" s="10">
        <f>SUM(F14:M14)-3</f>
        <v>1.5</v>
      </c>
      <c r="O14" s="8">
        <f t="shared" si="1"/>
        <v>5</v>
      </c>
    </row>
    <row r="15" spans="4:15">
      <c r="D15" s="8">
        <f t="shared" si="2"/>
        <v>10</v>
      </c>
      <c r="E15" s="8" t="s">
        <v>17</v>
      </c>
      <c r="F15" s="10">
        <v>1.5</v>
      </c>
      <c r="G15" s="10">
        <v>0.5</v>
      </c>
      <c r="H15" s="10">
        <v>1.5</v>
      </c>
      <c r="I15" s="10"/>
      <c r="J15" s="10"/>
      <c r="K15" s="10"/>
      <c r="L15" s="10"/>
      <c r="M15" s="10"/>
      <c r="N15" s="10">
        <f t="shared" si="0"/>
        <v>3.5</v>
      </c>
      <c r="O15" s="8">
        <f t="shared" si="1"/>
        <v>7</v>
      </c>
    </row>
    <row r="16" spans="4:15">
      <c r="D16" s="8">
        <f t="shared" si="2"/>
        <v>11</v>
      </c>
      <c r="E16" s="8" t="s">
        <v>19</v>
      </c>
      <c r="F16" s="10">
        <v>1.5</v>
      </c>
      <c r="G16" s="10"/>
      <c r="H16" s="10"/>
      <c r="I16" s="10"/>
      <c r="J16" s="10"/>
      <c r="K16" s="10"/>
      <c r="L16" s="10"/>
      <c r="M16" s="10"/>
      <c r="N16" s="10">
        <f t="shared" si="0"/>
        <v>1.5</v>
      </c>
      <c r="O16" s="8">
        <f t="shared" si="1"/>
        <v>5</v>
      </c>
    </row>
    <row r="17" spans="4:15">
      <c r="D17" s="8">
        <f t="shared" si="2"/>
        <v>12</v>
      </c>
      <c r="E17" s="8" t="s">
        <v>21</v>
      </c>
      <c r="F17" s="10">
        <v>1.5</v>
      </c>
      <c r="G17" s="10">
        <v>1.5</v>
      </c>
      <c r="H17" s="10">
        <v>1.5</v>
      </c>
      <c r="I17" s="10"/>
      <c r="J17" s="10"/>
      <c r="K17" s="10"/>
      <c r="L17" s="10"/>
      <c r="M17" s="10"/>
      <c r="N17" s="10">
        <f t="shared" si="0"/>
        <v>4.5</v>
      </c>
      <c r="O17" s="8">
        <f t="shared" si="1"/>
        <v>8</v>
      </c>
    </row>
    <row r="18" spans="4:15">
      <c r="D18" s="8">
        <f t="shared" si="2"/>
        <v>13</v>
      </c>
      <c r="E18" s="8" t="s">
        <v>23</v>
      </c>
      <c r="F18" s="10"/>
      <c r="G18" s="10">
        <v>1.5</v>
      </c>
      <c r="H18" s="10"/>
      <c r="I18" s="10">
        <v>3</v>
      </c>
      <c r="J18" s="10">
        <v>2</v>
      </c>
      <c r="K18" s="10"/>
      <c r="L18" s="10"/>
      <c r="M18" s="10"/>
      <c r="N18" s="10">
        <f t="shared" si="0"/>
        <v>6.5</v>
      </c>
      <c r="O18" s="8">
        <f t="shared" si="1"/>
        <v>10</v>
      </c>
    </row>
    <row r="19" spans="4:15">
      <c r="D19" s="8">
        <f t="shared" si="2"/>
        <v>14</v>
      </c>
      <c r="E19" s="8" t="s">
        <v>25</v>
      </c>
      <c r="F19" s="10">
        <v>1.5</v>
      </c>
      <c r="G19" s="10">
        <v>1.5</v>
      </c>
      <c r="H19" s="10">
        <v>1.5</v>
      </c>
      <c r="I19" s="10">
        <v>3</v>
      </c>
      <c r="J19" s="10"/>
      <c r="K19" s="10"/>
      <c r="L19" s="10"/>
      <c r="M19" s="10"/>
      <c r="N19" s="10">
        <f t="shared" si="0"/>
        <v>7.5</v>
      </c>
      <c r="O19" s="8">
        <f t="shared" si="1"/>
        <v>10</v>
      </c>
    </row>
    <row r="20" spans="4:15">
      <c r="D20" s="8">
        <f t="shared" si="2"/>
        <v>15</v>
      </c>
      <c r="E20" s="8" t="s">
        <v>27</v>
      </c>
      <c r="F20" s="10">
        <v>1.5</v>
      </c>
      <c r="G20" s="10">
        <v>1.5</v>
      </c>
      <c r="H20" s="10">
        <v>1.5</v>
      </c>
      <c r="I20" s="10"/>
      <c r="J20" s="10"/>
      <c r="K20" s="10"/>
      <c r="L20" s="10">
        <v>1</v>
      </c>
      <c r="M20" s="10"/>
      <c r="N20" s="10">
        <f t="shared" si="0"/>
        <v>5.5</v>
      </c>
      <c r="O20" s="8">
        <f t="shared" si="1"/>
        <v>9</v>
      </c>
    </row>
    <row r="21" spans="4:15">
      <c r="D21" s="8">
        <f t="shared" si="2"/>
        <v>16</v>
      </c>
      <c r="E21" s="8" t="s">
        <v>30</v>
      </c>
      <c r="F21" s="10">
        <v>1.5</v>
      </c>
      <c r="G21" s="10">
        <v>1.5</v>
      </c>
      <c r="H21" s="10"/>
      <c r="I21" s="10">
        <v>3</v>
      </c>
      <c r="J21" s="10"/>
      <c r="K21" s="10"/>
      <c r="L21" s="10"/>
      <c r="M21" s="10"/>
      <c r="N21" s="10">
        <f t="shared" si="0"/>
        <v>6</v>
      </c>
      <c r="O21" s="8">
        <f t="shared" si="1"/>
        <v>9</v>
      </c>
    </row>
    <row r="22" spans="4:15">
      <c r="D22" s="8">
        <f t="shared" si="2"/>
        <v>17</v>
      </c>
      <c r="E22" s="8" t="s">
        <v>32</v>
      </c>
      <c r="F22" s="10"/>
      <c r="G22" s="10"/>
      <c r="H22" s="10"/>
      <c r="I22" s="10">
        <v>3</v>
      </c>
      <c r="J22" s="10"/>
      <c r="K22" s="10"/>
      <c r="L22" s="10"/>
      <c r="M22" s="10"/>
      <c r="N22" s="10">
        <f t="shared" si="0"/>
        <v>3</v>
      </c>
      <c r="O22" s="8">
        <f t="shared" si="1"/>
        <v>6</v>
      </c>
    </row>
    <row r="23" spans="4:15">
      <c r="D23" s="8">
        <f t="shared" si="2"/>
        <v>18</v>
      </c>
      <c r="E23" s="8" t="s">
        <v>44</v>
      </c>
      <c r="F23" s="10"/>
      <c r="G23" s="10"/>
      <c r="H23" s="10"/>
      <c r="I23" s="10"/>
      <c r="J23" s="10"/>
      <c r="K23" s="10"/>
      <c r="L23" s="10"/>
      <c r="M23" s="10"/>
      <c r="N23" s="10">
        <f t="shared" si="0"/>
        <v>0</v>
      </c>
      <c r="O23" s="8">
        <f t="shared" si="1"/>
        <v>3</v>
      </c>
    </row>
    <row r="24" spans="4:15">
      <c r="D24" s="8">
        <f t="shared" si="2"/>
        <v>19</v>
      </c>
      <c r="E24" s="8" t="s">
        <v>34</v>
      </c>
      <c r="F24" s="10">
        <v>0.5</v>
      </c>
      <c r="G24" s="10">
        <v>0.5</v>
      </c>
      <c r="H24" s="10"/>
      <c r="I24" s="10"/>
      <c r="J24" s="10"/>
      <c r="K24" s="10"/>
      <c r="L24" s="10">
        <v>5</v>
      </c>
      <c r="M24" s="10"/>
      <c r="N24" s="10">
        <f t="shared" si="0"/>
        <v>6</v>
      </c>
      <c r="O24" s="8">
        <f t="shared" si="1"/>
        <v>9</v>
      </c>
    </row>
    <row r="25" spans="4:15">
      <c r="D25" s="8">
        <f t="shared" si="2"/>
        <v>20</v>
      </c>
      <c r="E25" s="8" t="s">
        <v>36</v>
      </c>
      <c r="F25" s="10">
        <v>0.5</v>
      </c>
      <c r="G25" s="10">
        <v>0.5</v>
      </c>
      <c r="H25" s="10">
        <v>1.5</v>
      </c>
      <c r="I25" s="10"/>
      <c r="J25" s="10"/>
      <c r="K25" s="10"/>
      <c r="L25" s="10"/>
      <c r="M25" s="10"/>
      <c r="N25" s="10">
        <f t="shared" si="0"/>
        <v>2.5</v>
      </c>
      <c r="O25" s="8">
        <f t="shared" si="1"/>
        <v>6</v>
      </c>
    </row>
    <row r="26" spans="4:15">
      <c r="D26" s="8">
        <f t="shared" si="2"/>
        <v>21</v>
      </c>
      <c r="E26" s="8" t="s">
        <v>38</v>
      </c>
      <c r="F26" s="10"/>
      <c r="G26" s="10"/>
      <c r="H26" s="10"/>
      <c r="I26" s="10">
        <v>3</v>
      </c>
      <c r="J26" s="10"/>
      <c r="K26" s="10"/>
      <c r="L26" s="10"/>
      <c r="M26" s="10"/>
      <c r="N26" s="10">
        <f>SUM(F26:M26)</f>
        <v>3</v>
      </c>
      <c r="O26" s="8">
        <f t="shared" si="1"/>
        <v>6</v>
      </c>
    </row>
  </sheetData>
  <conditionalFormatting sqref="O6:O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посещаемость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Smirnov</dc:creator>
  <cp:lastModifiedBy>Ivan Smirnov</cp:lastModifiedBy>
  <dcterms:created xsi:type="dcterms:W3CDTF">2025-01-31T14:40:23Z</dcterms:created>
  <dcterms:modified xsi:type="dcterms:W3CDTF">2025-05-15T10:53:14Z</dcterms:modified>
</cp:coreProperties>
</file>